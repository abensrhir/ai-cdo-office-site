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Scorecard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'KPI Scorecard'!$A$2:$G$16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B2A4A"/>
      <sz val="14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color rgb="00333333"/>
      <sz val="10"/>
    </font>
    <font>
      <name val="Arial"/>
      <b val="1"/>
      <color rgb="001B2A4A"/>
      <sz val="11"/>
    </font>
    <font>
      <name val="Arial"/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B2A4A"/>
        <bgColor rgb="001B2A4A"/>
      </patternFill>
    </fill>
    <fill>
      <patternFill patternType="solid">
        <fgColor rgb="00FAFAFA"/>
        <bgColor rgb="00FAFAF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2C5F2D"/>
      </font>
      <fill>
        <patternFill patternType="solid">
          <fgColor rgb="00E8F5E9"/>
          <bgColor rgb="00E8F5E9"/>
        </patternFill>
      </fill>
    </dxf>
    <dxf>
      <font>
        <b val="1"/>
        <color rgb="00D4A843"/>
      </font>
      <fill>
        <patternFill patternType="solid">
          <fgColor rgb="00FFF8E1"/>
          <bgColor rgb="00FFF8E1"/>
        </patternFill>
      </fill>
    </dxf>
    <dxf>
      <font>
        <b val="1"/>
        <color rgb="00B85042"/>
      </font>
      <fill>
        <patternFill patternType="solid">
          <fgColor rgb="00FFEBEE"/>
          <b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G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16" customWidth="1" min="4" max="4"/>
    <col width="14" customWidth="1" min="5" max="5"/>
    <col width="18" customWidth="1" min="6" max="6"/>
    <col width="16" customWidth="1" min="7" max="7"/>
  </cols>
  <sheetData>
    <row r="1" ht="35" customHeight="1">
      <c r="A1" s="1" t="inlineStr">
        <is>
          <t>CDAIO KPI Scorecard - Q1 2026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3" t="inlineStr">
        <is>
          <t>Category</t>
        </is>
      </c>
      <c r="B2" s="3" t="inlineStr">
        <is>
          <t>KPI</t>
        </is>
      </c>
      <c r="C2" s="3" t="inlineStr">
        <is>
          <t>Current Value</t>
        </is>
      </c>
      <c r="D2" s="3" t="inlineStr">
        <is>
          <t>Target</t>
        </is>
      </c>
      <c r="E2" s="3" t="inlineStr">
        <is>
          <t>Status</t>
        </is>
      </c>
      <c r="F2" s="3" t="inlineStr">
        <is>
          <t>Trend</t>
        </is>
      </c>
      <c r="G2" s="3" t="inlineStr">
        <is>
          <t>Source</t>
        </is>
      </c>
    </row>
    <row r="3">
      <c r="A3" s="4" t="inlineStr">
        <is>
          <t>Value Delivery</t>
        </is>
      </c>
      <c r="B3" s="5" t="inlineStr">
        <is>
          <t>AI Value Delivered ($)</t>
        </is>
      </c>
      <c r="C3" s="6" t="inlineStr">
        <is>
          <t>$2.4M</t>
        </is>
      </c>
      <c r="D3" s="7" t="inlineStr">
        <is>
          <t>$2.0M</t>
        </is>
      </c>
      <c r="E3" s="8" t="inlineStr">
        <is>
          <t>Green</t>
        </is>
      </c>
      <c r="F3" s="7" t="inlineStr">
        <is>
          <t>+18% QoQ</t>
        </is>
      </c>
      <c r="G3" s="9" t="inlineStr">
        <is>
          <t>Finance team</t>
        </is>
      </c>
    </row>
    <row r="4">
      <c r="A4" s="10" t="inlineStr"/>
      <c r="B4" s="10" t="inlineStr">
        <is>
          <t>Use Cases in Production</t>
        </is>
      </c>
      <c r="C4" s="11" t="inlineStr">
        <is>
          <t>12</t>
        </is>
      </c>
      <c r="D4" s="12" t="inlineStr">
        <is>
          <t>10</t>
        </is>
      </c>
      <c r="E4" s="13" t="inlineStr">
        <is>
          <t>Green</t>
        </is>
      </c>
      <c r="F4" s="12" t="inlineStr">
        <is>
          <t>+3 this quarter</t>
        </is>
      </c>
      <c r="G4" s="14" t="inlineStr">
        <is>
          <t>AI/ML platform</t>
        </is>
      </c>
    </row>
    <row r="5">
      <c r="A5" s="5" t="inlineStr"/>
      <c r="B5" s="5" t="inlineStr">
        <is>
          <t>ROI on AI Investment</t>
        </is>
      </c>
      <c r="C5" s="6" t="inlineStr">
        <is>
          <t>4.5x</t>
        </is>
      </c>
      <c r="D5" s="7" t="inlineStr">
        <is>
          <t>3.0x</t>
        </is>
      </c>
      <c r="E5" s="8" t="inlineStr">
        <is>
          <t>Green</t>
        </is>
      </c>
      <c r="F5" s="7" t="inlineStr">
        <is>
          <t>+0.8x QoQ</t>
        </is>
      </c>
      <c r="G5" s="9" t="inlineStr">
        <is>
          <t>Finance team</t>
        </is>
      </c>
    </row>
    <row r="6">
      <c r="A6" s="15" t="inlineStr">
        <is>
          <t>Operational Excellence</t>
        </is>
      </c>
      <c r="B6" s="10" t="inlineStr">
        <is>
          <t>Model Adoption Rate</t>
        </is>
      </c>
      <c r="C6" s="11" t="inlineStr">
        <is>
          <t>42%</t>
        </is>
      </c>
      <c r="D6" s="12" t="inlineStr">
        <is>
          <t>40%</t>
        </is>
      </c>
      <c r="E6" s="13" t="inlineStr">
        <is>
          <t>Green</t>
        </is>
      </c>
      <c r="F6" s="12" t="inlineStr">
        <is>
          <t>+5% QoQ</t>
        </is>
      </c>
      <c r="G6" s="14" t="inlineStr">
        <is>
          <t>Usage analytics</t>
        </is>
      </c>
    </row>
    <row r="7">
      <c r="A7" s="5" t="inlineStr"/>
      <c r="B7" s="5" t="inlineStr">
        <is>
          <t>Platform Uptime</t>
        </is>
      </c>
      <c r="C7" s="6" t="inlineStr">
        <is>
          <t>98.2%</t>
        </is>
      </c>
      <c r="D7" s="7" t="inlineStr">
        <is>
          <t>99.0%</t>
        </is>
      </c>
      <c r="E7" s="8" t="inlineStr">
        <is>
          <t>Amber</t>
        </is>
      </c>
      <c r="F7" s="7" t="inlineStr">
        <is>
          <t>-0.3% QoQ</t>
        </is>
      </c>
      <c r="G7" s="9" t="inlineStr">
        <is>
          <t>SRE dashboard</t>
        </is>
      </c>
    </row>
    <row r="8">
      <c r="A8" s="10" t="inlineStr"/>
      <c r="B8" s="10" t="inlineStr">
        <is>
          <t>Models in Production</t>
        </is>
      </c>
      <c r="C8" s="11" t="inlineStr">
        <is>
          <t>156</t>
        </is>
      </c>
      <c r="D8" s="12" t="inlineStr">
        <is>
          <t>150</t>
        </is>
      </c>
      <c r="E8" s="13" t="inlineStr">
        <is>
          <t>Green</t>
        </is>
      </c>
      <c r="F8" s="12" t="inlineStr">
        <is>
          <t>+23 new</t>
        </is>
      </c>
      <c r="G8" s="14" t="inlineStr">
        <is>
          <t>MLOps platform</t>
        </is>
      </c>
    </row>
    <row r="9">
      <c r="A9" s="4" t="inlineStr">
        <is>
          <t>Data Quality</t>
        </is>
      </c>
      <c r="B9" s="5" t="inlineStr">
        <is>
          <t>Data Quality Score</t>
        </is>
      </c>
      <c r="C9" s="6" t="inlineStr">
        <is>
          <t>87%</t>
        </is>
      </c>
      <c r="D9" s="7" t="inlineStr">
        <is>
          <t>95%</t>
        </is>
      </c>
      <c r="E9" s="8" t="inlineStr">
        <is>
          <t>Red</t>
        </is>
      </c>
      <c r="F9" s="7" t="inlineStr">
        <is>
          <t>+4% QoQ</t>
        </is>
      </c>
      <c r="G9" s="9" t="inlineStr">
        <is>
          <t>DQ monitoring</t>
        </is>
      </c>
    </row>
    <row r="10">
      <c r="A10" s="10" t="inlineStr"/>
      <c r="B10" s="10" t="inlineStr">
        <is>
          <t>Critical Data Issues</t>
        </is>
      </c>
      <c r="C10" s="11" t="inlineStr">
        <is>
          <t>8</t>
        </is>
      </c>
      <c r="D10" s="12" t="inlineStr">
        <is>
          <t>0</t>
        </is>
      </c>
      <c r="E10" s="13" t="inlineStr">
        <is>
          <t>Red</t>
        </is>
      </c>
      <c r="F10" s="12" t="inlineStr">
        <is>
          <t>-3 from last Q</t>
        </is>
      </c>
      <c r="G10" s="14" t="inlineStr">
        <is>
          <t>Jira tracker</t>
        </is>
      </c>
    </row>
    <row r="11">
      <c r="A11" s="5" t="inlineStr"/>
      <c r="B11" s="5" t="inlineStr">
        <is>
          <t>Data Catalog Coverage</t>
        </is>
      </c>
      <c r="C11" s="6" t="inlineStr">
        <is>
          <t>65%</t>
        </is>
      </c>
      <c r="D11" s="7" t="inlineStr">
        <is>
          <t>80%</t>
        </is>
      </c>
      <c r="E11" s="8" t="inlineStr">
        <is>
          <t>Amber</t>
        </is>
      </c>
      <c r="F11" s="7" t="inlineStr">
        <is>
          <t>+8% QoQ</t>
        </is>
      </c>
      <c r="G11" s="9" t="inlineStr">
        <is>
          <t>Data catalog</t>
        </is>
      </c>
    </row>
    <row r="12">
      <c r="A12" s="15" t="inlineStr">
        <is>
          <t>Governance</t>
        </is>
      </c>
      <c r="B12" s="10" t="inlineStr">
        <is>
          <t>Policy Compliance Rate</t>
        </is>
      </c>
      <c r="C12" s="11" t="inlineStr">
        <is>
          <t>78%</t>
        </is>
      </c>
      <c r="D12" s="12" t="inlineStr">
        <is>
          <t>95%</t>
        </is>
      </c>
      <c r="E12" s="13" t="inlineStr">
        <is>
          <t>Amber</t>
        </is>
      </c>
      <c r="F12" s="12" t="inlineStr">
        <is>
          <t>+12% QoQ</t>
        </is>
      </c>
      <c r="G12" s="14" t="inlineStr">
        <is>
          <t>GRC platform</t>
        </is>
      </c>
    </row>
    <row r="13">
      <c r="A13" s="5" t="inlineStr"/>
      <c r="B13" s="5" t="inlineStr">
        <is>
          <t>Data Steward Coverage</t>
        </is>
      </c>
      <c r="C13" s="6" t="inlineStr">
        <is>
          <t>40%</t>
        </is>
      </c>
      <c r="D13" s="7" t="inlineStr">
        <is>
          <t>80%</t>
        </is>
      </c>
      <c r="E13" s="8" t="inlineStr">
        <is>
          <t>Red</t>
        </is>
      </c>
      <c r="F13" s="7" t="inlineStr">
        <is>
          <t>+15% QoQ</t>
        </is>
      </c>
      <c r="G13" s="9" t="inlineStr">
        <is>
          <t>Governance office</t>
        </is>
      </c>
    </row>
    <row r="14">
      <c r="A14" s="10" t="inlineStr"/>
      <c r="B14" s="10" t="inlineStr">
        <is>
          <t>Regulatory Gaps Open</t>
        </is>
      </c>
      <c r="C14" s="11" t="inlineStr">
        <is>
          <t>3</t>
        </is>
      </c>
      <c r="D14" s="12" t="inlineStr">
        <is>
          <t>0</t>
        </is>
      </c>
      <c r="E14" s="13" t="inlineStr">
        <is>
          <t>Red</t>
        </is>
      </c>
      <c r="F14" s="12" t="inlineStr">
        <is>
          <t>-1 from last Q</t>
        </is>
      </c>
      <c r="G14" s="14" t="inlineStr">
        <is>
          <t>Compliance tracker</t>
        </is>
      </c>
    </row>
    <row r="15">
      <c r="A15" s="4" t="inlineStr">
        <is>
          <t>Stakeholder</t>
        </is>
      </c>
      <c r="B15" s="5" t="inlineStr">
        <is>
          <t>Stakeholder NPS</t>
        </is>
      </c>
      <c r="C15" s="6" t="inlineStr">
        <is>
          <t>4.2</t>
        </is>
      </c>
      <c r="D15" s="7" t="inlineStr">
        <is>
          <t>4.5</t>
        </is>
      </c>
      <c r="E15" s="8" t="inlineStr">
        <is>
          <t>Amber</t>
        </is>
      </c>
      <c r="F15" s="7" t="inlineStr">
        <is>
          <t>-0.3 QoQ</t>
        </is>
      </c>
      <c r="G15" s="9" t="inlineStr">
        <is>
          <t>Quarterly survey</t>
        </is>
      </c>
    </row>
    <row r="16">
      <c r="A16" s="10" t="inlineStr"/>
      <c r="B16" s="10" t="inlineStr">
        <is>
          <t>Self-Service Adoption</t>
        </is>
      </c>
      <c r="C16" s="11" t="inlineStr">
        <is>
          <t>28%</t>
        </is>
      </c>
      <c r="D16" s="12" t="inlineStr">
        <is>
          <t>40%</t>
        </is>
      </c>
      <c r="E16" s="13" t="inlineStr">
        <is>
          <t>Amber</t>
        </is>
      </c>
      <c r="F16" s="12" t="inlineStr">
        <is>
          <t>+5% QoQ</t>
        </is>
      </c>
      <c r="G16" s="14" t="inlineStr">
        <is>
          <t>Analytics platform</t>
        </is>
      </c>
    </row>
  </sheetData>
  <autoFilter ref="A2:G16"/>
  <mergeCells count="1">
    <mergeCell ref="A1:G1"/>
  </mergeCells>
  <conditionalFormatting sqref="E3:E16">
    <cfRule type="expression" priority="1" dxfId="0">
      <formula>E3="Green"</formula>
    </cfRule>
    <cfRule type="expression" priority="2" dxfId="1">
      <formula>E3="Amber"</formula>
    </cfRule>
    <cfRule type="expression" priority="3" dxfId="2">
      <formula>E3="Red"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4A7A"/>
    <outlinePr summaryBelow="1" summaryRight="1"/>
    <pageSetUpPr/>
  </sheetPr>
  <dimension ref="A1:E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5" customHeight="1">
      <c r="A1" s="1" t="inlineStr">
        <is>
          <t>KPI Status by Category</t>
        </is>
      </c>
      <c r="B1" s="2" t="n"/>
      <c r="C1" s="2" t="n"/>
      <c r="D1" s="2" t="n"/>
      <c r="E1" s="2" t="n"/>
    </row>
    <row r="2" ht="30" customHeight="1">
      <c r="A2" s="3" t="inlineStr">
        <is>
          <t>Category</t>
        </is>
      </c>
      <c r="B2" s="3" t="inlineStr">
        <is>
          <t>Total KPIs</t>
        </is>
      </c>
      <c r="C2" s="3" t="inlineStr">
        <is>
          <t>Green</t>
        </is>
      </c>
      <c r="D2" s="3" t="inlineStr">
        <is>
          <t>Amber</t>
        </is>
      </c>
      <c r="E2" s="3" t="inlineStr">
        <is>
          <t>Red</t>
        </is>
      </c>
    </row>
    <row r="3">
      <c r="A3" s="4" t="inlineStr">
        <is>
          <t>Value Delivery</t>
        </is>
      </c>
      <c r="B3" s="7">
        <f>COUNTIF('KPI Scorecard'!A$3:A$16,A3)</f>
        <v/>
      </c>
      <c r="C3" s="7">
        <f>COUNTIFS('KPI Scorecard'!A$3:A$16,A3,'KPI Scorecard'!E$3:E$16,"Green")</f>
        <v/>
      </c>
      <c r="D3" s="7">
        <f>COUNTIFS('KPI Scorecard'!A$3:A$16,A3,'KPI Scorecard'!E$3:E$16,"Amber")</f>
        <v/>
      </c>
      <c r="E3" s="7">
        <f>COUNTIFS('KPI Scorecard'!A$3:A$16,A3,'KPI Scorecard'!E$3:E$16,"Red")</f>
        <v/>
      </c>
    </row>
    <row r="4">
      <c r="A4" s="15" t="inlineStr">
        <is>
          <t>Operational Excellence</t>
        </is>
      </c>
      <c r="B4" s="12">
        <f>COUNTIF('KPI Scorecard'!A$3:A$16,A4)</f>
        <v/>
      </c>
      <c r="C4" s="12">
        <f>COUNTIFS('KPI Scorecard'!A$3:A$16,A4,'KPI Scorecard'!E$3:E$16,"Green")</f>
        <v/>
      </c>
      <c r="D4" s="12">
        <f>COUNTIFS('KPI Scorecard'!A$3:A$16,A4,'KPI Scorecard'!E$3:E$16,"Amber")</f>
        <v/>
      </c>
      <c r="E4" s="12">
        <f>COUNTIFS('KPI Scorecard'!A$3:A$16,A4,'KPI Scorecard'!E$3:E$16,"Red")</f>
        <v/>
      </c>
    </row>
    <row r="5">
      <c r="A5" s="4" t="inlineStr">
        <is>
          <t>Data Quality</t>
        </is>
      </c>
      <c r="B5" s="7">
        <f>COUNTIF('KPI Scorecard'!A$3:A$16,A5)</f>
        <v/>
      </c>
      <c r="C5" s="7">
        <f>COUNTIFS('KPI Scorecard'!A$3:A$16,A5,'KPI Scorecard'!E$3:E$16,"Green")</f>
        <v/>
      </c>
      <c r="D5" s="7">
        <f>COUNTIFS('KPI Scorecard'!A$3:A$16,A5,'KPI Scorecard'!E$3:E$16,"Amber")</f>
        <v/>
      </c>
      <c r="E5" s="7">
        <f>COUNTIFS('KPI Scorecard'!A$3:A$16,A5,'KPI Scorecard'!E$3:E$16,"Red")</f>
        <v/>
      </c>
    </row>
    <row r="6">
      <c r="A6" s="15" t="inlineStr">
        <is>
          <t>Governance</t>
        </is>
      </c>
      <c r="B6" s="12">
        <f>COUNTIF('KPI Scorecard'!A$3:A$16,A6)</f>
        <v/>
      </c>
      <c r="C6" s="12">
        <f>COUNTIFS('KPI Scorecard'!A$3:A$16,A6,'KPI Scorecard'!E$3:E$16,"Green")</f>
        <v/>
      </c>
      <c r="D6" s="12">
        <f>COUNTIFS('KPI Scorecard'!A$3:A$16,A6,'KPI Scorecard'!E$3:E$16,"Amber")</f>
        <v/>
      </c>
      <c r="E6" s="12">
        <f>COUNTIFS('KPI Scorecard'!A$3:A$16,A6,'KPI Scorecard'!E$3:E$16,"Red")</f>
        <v/>
      </c>
    </row>
    <row r="7">
      <c r="A7" s="4" t="inlineStr">
        <is>
          <t>Stakeholder</t>
        </is>
      </c>
      <c r="B7" s="7">
        <f>COUNTIF('KPI Scorecard'!A$3:A$16,A7)</f>
        <v/>
      </c>
      <c r="C7" s="7">
        <f>COUNTIFS('KPI Scorecard'!A$3:A$16,A7,'KPI Scorecard'!E$3:E$16,"Green")</f>
        <v/>
      </c>
      <c r="D7" s="7">
        <f>COUNTIFS('KPI Scorecard'!A$3:A$16,A7,'KPI Scorecard'!E$3:E$16,"Amber")</f>
        <v/>
      </c>
      <c r="E7" s="7">
        <f>COUNTIFS('KPI Scorecard'!A$3:A$16,A7,'KPI Scorecard'!E$3:E$16,"Red")</f>
        <v/>
      </c>
    </row>
    <row r="8">
      <c r="A8" s="16" t="inlineStr">
        <is>
          <t>TOTAL</t>
        </is>
      </c>
      <c r="B8" s="3">
        <f>SUM(B3:B7)</f>
        <v/>
      </c>
      <c r="C8" s="3">
        <f>SUM(C3:C7)</f>
        <v/>
      </c>
      <c r="D8" s="3">
        <f>SUM(D3:D7)</f>
        <v/>
      </c>
      <c r="E8" s="3">
        <f>SUM(E3:E7)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2026-03-13T14:36:18Z</dcterms:created>
  <dcterms:modified xmlns:dcterms="http://purl.org/dc/terms/" xmlns:xsi="http://www.w3.org/2001/XMLSchema-instance" xsi:type="dcterms:W3CDTF">2026-03-13T14:36:18Z</dcterms:modified>
</cp:coreProperties>
</file>