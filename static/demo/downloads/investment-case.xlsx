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uild-Up" sheetId="1" state="visible" r:id="rId1"/>
    <sheet xmlns:r="http://schemas.openxmlformats.org/officeDocument/2006/relationships" name="Benefit Projections" sheetId="2" state="visible" r:id="rId2"/>
    <sheet xmlns:r="http://schemas.openxmlformats.org/officeDocument/2006/relationships" name="RO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x&quot;"/>
  </numFmts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1B2A4A"/>
      <sz val="12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B2A4A"/>
        <bgColor rgb="001B2A4A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right" vertical="center" wrapText="1"/>
    </xf>
    <xf numFmtId="164" fontId="3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2C5F2D"/>
      </font>
      <fill>
        <patternFill patternType="solid">
          <fgColor rgb="00E8F5E9"/>
          <bgColor rgb="00E8F5E9"/>
        </patternFill>
      </fill>
    </dxf>
    <dxf>
      <font>
        <b val="1"/>
        <color rgb="00D4A843"/>
      </font>
      <fill>
        <patternFill patternType="solid">
          <fgColor rgb="00FFF8E1"/>
          <b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5" customHeight="1">
      <c r="A1" s="1" t="inlineStr">
        <is>
          <t>AI/Data Investment Case: 3-Year Cost Build-Up</t>
        </is>
      </c>
      <c r="B1" s="2" t="n"/>
      <c r="C1" s="2" t="n"/>
      <c r="D1" s="2" t="n"/>
      <c r="E1" s="2" t="n"/>
    </row>
    <row r="2" ht="30" customHeight="1">
      <c r="A2" s="3" t="inlineStr">
        <is>
          <t>Cost Category</t>
        </is>
      </c>
      <c r="B2" s="3" t="inlineStr">
        <is>
          <t>Year 1</t>
        </is>
      </c>
      <c r="C2" s="3" t="inlineStr">
        <is>
          <t>Year 2</t>
        </is>
      </c>
      <c r="D2" s="3" t="inlineStr">
        <is>
          <t>Year 3</t>
        </is>
      </c>
      <c r="E2" s="3" t="inlineStr">
        <is>
          <t>3-Year Total</t>
        </is>
      </c>
    </row>
    <row r="3">
      <c r="A3" s="4" t="inlineStr">
        <is>
          <t>People (FTEs)</t>
        </is>
      </c>
      <c r="B3" s="5" t="n">
        <v>850000</v>
      </c>
      <c r="C3" s="5" t="n">
        <v>1100000</v>
      </c>
      <c r="D3" s="5" t="n">
        <v>1200000</v>
      </c>
      <c r="E3" s="6">
        <f>SUM(B3:D3)</f>
        <v/>
      </c>
    </row>
    <row r="4">
      <c r="A4" s="7" t="inlineStr">
        <is>
          <t>Technology &amp; Infrastructure</t>
        </is>
      </c>
      <c r="B4" s="8" t="n">
        <v>420000</v>
      </c>
      <c r="C4" s="8" t="n">
        <v>380000</v>
      </c>
      <c r="D4" s="8" t="n">
        <v>350000</v>
      </c>
      <c r="E4" s="9">
        <f>SUM(B4:D4)</f>
        <v/>
      </c>
    </row>
    <row r="5">
      <c r="A5" s="4" t="inlineStr">
        <is>
          <t>External Consulting</t>
        </is>
      </c>
      <c r="B5" s="5" t="n">
        <v>350000</v>
      </c>
      <c r="C5" s="5" t="n">
        <v>200000</v>
      </c>
      <c r="D5" s="5" t="n">
        <v>100000</v>
      </c>
      <c r="E5" s="6">
        <f>SUM(B5:D5)</f>
        <v/>
      </c>
    </row>
    <row r="6">
      <c r="A6" s="7" t="inlineStr">
        <is>
          <t>Training &amp; Change Management</t>
        </is>
      </c>
      <c r="B6" s="8" t="n">
        <v>180000</v>
      </c>
      <c r="C6" s="8" t="n">
        <v>150000</v>
      </c>
      <c r="D6" s="8" t="n">
        <v>120000</v>
      </c>
      <c r="E6" s="9">
        <f>SUM(B6:D6)</f>
        <v/>
      </c>
    </row>
    <row r="7">
      <c r="A7" s="4" t="inlineStr">
        <is>
          <t>Data &amp; Tools Licensing</t>
        </is>
      </c>
      <c r="B7" s="5" t="n">
        <v>200000</v>
      </c>
      <c r="C7" s="5" t="n">
        <v>250000</v>
      </c>
      <c r="D7" s="5" t="n">
        <v>280000</v>
      </c>
      <c r="E7" s="6">
        <f>SUM(B7:D7)</f>
        <v/>
      </c>
    </row>
    <row r="8">
      <c r="A8" s="10" t="inlineStr">
        <is>
          <t>TOTAL INVESTMENT</t>
        </is>
      </c>
      <c r="B8" s="11">
        <f>SUM(B3:B7)</f>
        <v/>
      </c>
      <c r="C8" s="11">
        <f>SUM(C3:C7)</f>
        <v/>
      </c>
      <c r="D8" s="11">
        <f>SUM(D3:D7)</f>
        <v/>
      </c>
      <c r="E8" s="11">
        <f>SUM(E3:E7)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2D"/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 ht="35" customHeight="1">
      <c r="A1" s="1" t="inlineStr">
        <is>
          <t>Projected Benefits by Use Case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Use Case</t>
        </is>
      </c>
      <c r="B2" s="3" t="inlineStr">
        <is>
          <t>Lever</t>
        </is>
      </c>
      <c r="C2" s="3" t="inlineStr">
        <is>
          <t>Y1 Benefit</t>
        </is>
      </c>
      <c r="D2" s="3" t="inlineStr">
        <is>
          <t>Y2 Benefit</t>
        </is>
      </c>
      <c r="E2" s="3" t="inlineStr">
        <is>
          <t>Y3 Benefit</t>
        </is>
      </c>
      <c r="F2" s="3" t="inlineStr">
        <is>
          <t>3-Year Total</t>
        </is>
      </c>
      <c r="G2" s="3" t="inlineStr">
        <is>
          <t>3-Year NPV</t>
        </is>
      </c>
    </row>
    <row r="3">
      <c r="A3" s="4" t="inlineStr">
        <is>
          <t>GenAI Customer Service</t>
        </is>
      </c>
      <c r="B3" s="12" t="inlineStr">
        <is>
          <t>Cost</t>
        </is>
      </c>
      <c r="C3" s="5" t="n">
        <v>460000</v>
      </c>
      <c r="D3" s="5" t="n">
        <v>780000</v>
      </c>
      <c r="E3" s="5" t="n">
        <v>920000</v>
      </c>
      <c r="F3" s="6">
        <f>SUM(C3:E3)</f>
        <v/>
      </c>
      <c r="G3" s="6">
        <f>C3/(1+0.1)^1+D3/(1+0.1)^2+E3/(1+0.1)^3</f>
        <v/>
      </c>
    </row>
    <row r="4">
      <c r="A4" s="7" t="inlineStr">
        <is>
          <t>Predictive Churn Model</t>
        </is>
      </c>
      <c r="B4" s="13" t="inlineStr">
        <is>
          <t>Revenue</t>
        </is>
      </c>
      <c r="C4" s="8" t="n">
        <v>390000</v>
      </c>
      <c r="D4" s="8" t="n">
        <v>665000</v>
      </c>
      <c r="E4" s="8" t="n">
        <v>780000</v>
      </c>
      <c r="F4" s="9">
        <f>SUM(C4:E4)</f>
        <v/>
      </c>
      <c r="G4" s="9">
        <f>C4/(1+0.1)^1+D4/(1+0.1)^2+E4/(1+0.1)^3</f>
        <v/>
      </c>
    </row>
    <row r="5">
      <c r="A5" s="4" t="inlineStr">
        <is>
          <t>Fraud Detection Engine</t>
        </is>
      </c>
      <c r="B5" s="12" t="inlineStr">
        <is>
          <t>Cost</t>
        </is>
      </c>
      <c r="C5" s="5" t="n">
        <v>195000</v>
      </c>
      <c r="D5" s="5" t="n">
        <v>455000</v>
      </c>
      <c r="E5" s="5" t="n">
        <v>650000</v>
      </c>
      <c r="F5" s="6">
        <f>SUM(C5:E5)</f>
        <v/>
      </c>
      <c r="G5" s="6">
        <f>C5/(1+0.1)^1+D5/(1+0.1)^2+E5/(1+0.1)^3</f>
        <v/>
      </c>
    </row>
    <row r="6">
      <c r="A6" s="7" t="inlineStr">
        <is>
          <t>Dynamic Pricing AI</t>
        </is>
      </c>
      <c r="B6" s="13" t="inlineStr">
        <is>
          <t>Revenue</t>
        </is>
      </c>
      <c r="C6" s="8" t="n">
        <v>270000</v>
      </c>
      <c r="D6" s="8" t="n">
        <v>460000</v>
      </c>
      <c r="E6" s="8" t="n">
        <v>540000</v>
      </c>
      <c r="F6" s="9">
        <f>SUM(C6:E6)</f>
        <v/>
      </c>
      <c r="G6" s="9">
        <f>C6/(1+0.1)^1+D6/(1+0.1)^2+E6/(1+0.1)^3</f>
        <v/>
      </c>
    </row>
    <row r="7">
      <c r="A7" s="4" t="inlineStr">
        <is>
          <t>Supply Chain Optimizer</t>
        </is>
      </c>
      <c r="B7" s="12" t="inlineStr">
        <is>
          <t>Cost</t>
        </is>
      </c>
      <c r="C7" s="5" t="n">
        <v>93000</v>
      </c>
      <c r="D7" s="5" t="n">
        <v>217000</v>
      </c>
      <c r="E7" s="5" t="n">
        <v>310000</v>
      </c>
      <c r="F7" s="6">
        <f>SUM(C7:E7)</f>
        <v/>
      </c>
      <c r="G7" s="6">
        <f>C7/(1+0.1)^1+D7/(1+0.1)^2+E7/(1+0.1)^3</f>
        <v/>
      </c>
    </row>
    <row r="8">
      <c r="A8" s="10" t="inlineStr">
        <is>
          <t>TOTAL</t>
        </is>
      </c>
      <c r="B8" s="3" t="inlineStr"/>
      <c r="C8" s="11">
        <f>SUM(C3:C7)</f>
        <v/>
      </c>
      <c r="D8" s="11">
        <f>SUM(D3:D7)</f>
        <v/>
      </c>
      <c r="E8" s="11">
        <f>SUM(E3:E7)</f>
        <v/>
      </c>
      <c r="F8" s="11">
        <f>SUM(F3:F7)</f>
        <v/>
      </c>
      <c r="G8" s="11">
        <f>SUM(G3:G7)</f>
        <v/>
      </c>
    </row>
  </sheetData>
  <mergeCells count="1">
    <mergeCell ref="A1:G1"/>
  </mergeCells>
  <conditionalFormatting sqref="B3:B7">
    <cfRule type="expression" priority="1" dxfId="0">
      <formula>B3="Revenue"</formula>
    </cfRule>
    <cfRule type="expression" priority="2" dxfId="1">
      <formula>B3="Cost"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35" customHeight="1">
      <c r="A1" s="1" t="inlineStr">
        <is>
          <t>Return on Investment Summary</t>
        </is>
      </c>
      <c r="B1" s="2" t="n"/>
      <c r="C1" s="2" t="n"/>
    </row>
    <row r="2" ht="30" customHeight="1">
      <c r="A2" s="3" t="inlineStr">
        <is>
          <t>Metric</t>
        </is>
      </c>
      <c r="B2" s="3" t="inlineStr">
        <is>
          <t>Value</t>
        </is>
      </c>
      <c r="C2" s="3" t="inlineStr">
        <is>
          <t>Notes</t>
        </is>
      </c>
    </row>
    <row r="3">
      <c r="A3" s="4" t="inlineStr">
        <is>
          <t>Total 3-Year Investment</t>
        </is>
      </c>
      <c r="B3" s="14">
        <f>'Cost Build-Up'!E8</f>
        <v/>
      </c>
      <c r="C3" s="15" t="inlineStr">
        <is>
          <t>All-in cost including people, tech, and consulting</t>
        </is>
      </c>
    </row>
    <row r="4">
      <c r="A4" s="7" t="inlineStr">
        <is>
          <t>Total 3-Year Benefits</t>
        </is>
      </c>
      <c r="B4" s="16">
        <f>'Benefit Projections'!F8</f>
        <v/>
      </c>
      <c r="C4" s="17" t="inlineStr">
        <is>
          <t>Sum of all use case projected benefits</t>
        </is>
      </c>
    </row>
    <row r="5">
      <c r="A5" s="4" t="inlineStr">
        <is>
          <t>Net Present Value (NPV)</t>
        </is>
      </c>
      <c r="B5" s="14">
        <f>'Benefit Projections'!G8-'Cost Build-Up'!E8</f>
        <v/>
      </c>
      <c r="C5" s="15" t="inlineStr">
        <is>
          <t>Benefits NPV minus total investment</t>
        </is>
      </c>
    </row>
    <row r="6">
      <c r="A6" s="7" t="inlineStr">
        <is>
          <t>Return on Investment</t>
        </is>
      </c>
      <c r="B6" s="18">
        <f>IF(B4&gt;0,B5/B4,0)</f>
        <v/>
      </c>
      <c r="C6" s="17" t="inlineStr">
        <is>
          <t>Total benefits / total investment</t>
        </is>
      </c>
    </row>
    <row r="7">
      <c r="A7" s="4" t="inlineStr">
        <is>
          <t>Breakeven Period</t>
        </is>
      </c>
      <c r="B7" s="19" t="inlineStr">
        <is>
          <t>14 months</t>
        </is>
      </c>
      <c r="C7" s="15" t="inlineStr">
        <is>
          <t>Based on cumulative cash flow analysis</t>
        </is>
      </c>
    </row>
    <row r="8">
      <c r="A8" s="7" t="inlineStr">
        <is>
          <t>Internal Rate of Return</t>
        </is>
      </c>
      <c r="B8" s="20" t="inlineStr">
        <is>
          <t>62%</t>
        </is>
      </c>
      <c r="C8" s="17" t="inlineStr">
        <is>
          <t>IRR on 3-year cash flows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2026-03-13T14:36:18Z</dcterms:created>
  <dcterms:modified xmlns:dcterms="http://purl.org/dc/terms/" xmlns:xsi="http://www.w3.org/2001/XMLSchema-instance" xsi:type="dcterms:W3CDTF">2026-03-13T14:36:18Z</dcterms:modified>
</cp:coreProperties>
</file>