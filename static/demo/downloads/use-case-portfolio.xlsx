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ing Matrix" sheetId="1" state="visible" r:id="rId1"/>
    <sheet xmlns:r="http://schemas.openxmlformats.org/officeDocument/2006/relationships" name="Portfolio View" sheetId="2" state="visible" r:id="rId2"/>
  </sheets>
  <definedNames>
    <definedName name="_xlnm._FilterDatabase" localSheetId="0" hidden="1">'Scoring Matrix'!$A$2:$P$10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color rgb="00333333"/>
      <sz val="10"/>
    </font>
    <font>
      <name val="Arial"/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E8EDF5"/>
        <bgColor rgb="00E8EDF5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center" vertical="center" wrapText="1"/>
    </xf>
    <xf numFmtId="2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164" fontId="3" fillId="6" borderId="1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center" vertical="center" wrapText="1"/>
    </xf>
    <xf numFmtId="2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b val="1"/>
        <color rgb="002C5F2D"/>
      </font>
      <fill>
        <patternFill patternType="solid">
          <fgColor rgb="00E8F5E9"/>
          <bgColor rgb="00E8F5E9"/>
        </patternFill>
      </fill>
    </dxf>
    <dxf>
      <font>
        <b val="1"/>
        <color rgb="00D4A843"/>
      </font>
      <fill>
        <patternFill patternType="solid">
          <fgColor rgb="00FFF8E1"/>
          <bgColor rgb="00FFF8E1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EBEE"/>
          <b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P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  <col width="14" customWidth="1" min="8" max="8"/>
    <col width="15" customWidth="1" min="9" max="9"/>
    <col width="12" customWidth="1" min="10" max="10"/>
    <col width="12" customWidth="1" min="11" max="11"/>
    <col width="12" customWidth="1" min="12" max="12"/>
    <col width="13" customWidth="1" min="13" max="13"/>
    <col width="12" customWidth="1" min="14" max="14"/>
    <col width="14" customWidth="1" min="15" max="15"/>
    <col width="30" customWidth="1" min="16" max="16"/>
  </cols>
  <sheetData>
    <row r="1" ht="30" customHeight="1">
      <c r="A1" s="1" t="inlineStr">
        <is>
          <t>Use Case</t>
        </is>
      </c>
      <c r="B1" s="1" t="inlineStr">
        <is>
          <t>Function</t>
        </is>
      </c>
      <c r="C1" s="1" t="inlineStr">
        <is>
          <t>Strategic Fit</t>
        </is>
      </c>
      <c r="D1" s="1" t="inlineStr">
        <is>
          <t>Data Readiness</t>
        </is>
      </c>
      <c r="E1" s="1" t="inlineStr">
        <is>
          <t>Tech Feasibility</t>
        </is>
      </c>
      <c r="F1" s="1" t="inlineStr">
        <is>
          <t>Business Impact</t>
        </is>
      </c>
      <c r="G1" s="1" t="inlineStr">
        <is>
          <t>Time to Value</t>
        </is>
      </c>
      <c r="H1" s="1" t="inlineStr">
        <is>
          <t>Risk Level</t>
        </is>
      </c>
      <c r="I1" s="1" t="inlineStr">
        <is>
          <t>Weighted Score</t>
        </is>
      </c>
      <c r="J1" s="1" t="inlineStr">
        <is>
          <t>Lever</t>
        </is>
      </c>
      <c r="K1" s="1" t="inlineStr">
        <is>
          <t>Impact Low %</t>
        </is>
      </c>
      <c r="L1" s="1" t="inlineStr">
        <is>
          <t>Impact High %</t>
        </is>
      </c>
      <c r="M1" s="1" t="inlineStr">
        <is>
          <t>Avg Impact %</t>
        </is>
      </c>
      <c r="N1" s="1" t="inlineStr">
        <is>
          <t>Time (mo)</t>
        </is>
      </c>
      <c r="O1" s="1" t="inlineStr">
        <is>
          <t>Priority Score</t>
        </is>
      </c>
      <c r="P1" s="1" t="inlineStr">
        <is>
          <t>MBB Source</t>
        </is>
      </c>
    </row>
    <row r="2">
      <c r="A2" s="2" t="inlineStr">
        <is>
          <t>Weights</t>
        </is>
      </c>
      <c r="B2" s="3" t="inlineStr"/>
      <c r="C2" s="4" t="n">
        <v>0.2</v>
      </c>
      <c r="D2" s="4" t="n">
        <v>0.2</v>
      </c>
      <c r="E2" s="4" t="n">
        <v>0.15</v>
      </c>
      <c r="F2" s="4" t="n">
        <v>0.25</v>
      </c>
      <c r="G2" s="4" t="n">
        <v>0.1</v>
      </c>
      <c r="H2" s="4" t="n">
        <v>0.1</v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</row>
    <row r="3">
      <c r="A3" s="5" t="inlineStr">
        <is>
          <t>GenAI Customer Service</t>
        </is>
      </c>
      <c r="B3" s="6" t="inlineStr">
        <is>
          <t>Operations</t>
        </is>
      </c>
      <c r="C3" s="7" t="n">
        <v>5</v>
      </c>
      <c r="D3" s="7" t="n">
        <v>4</v>
      </c>
      <c r="E3" s="7" t="n">
        <v>5</v>
      </c>
      <c r="F3" s="7" t="n">
        <v>5</v>
      </c>
      <c r="G3" s="7" t="n">
        <v>4</v>
      </c>
      <c r="H3" s="7" t="n">
        <v>3</v>
      </c>
      <c r="I3" s="8">
        <f>SUMPRODUCT(C3:H3,$C$2:$H$2)</f>
        <v/>
      </c>
      <c r="J3" s="9" t="inlineStr">
        <is>
          <t>Cost</t>
        </is>
      </c>
      <c r="K3" s="10" t="n">
        <v>0.25</v>
      </c>
      <c r="L3" s="10" t="n">
        <v>0.35</v>
      </c>
      <c r="M3" s="10">
        <f>AVERAGE(K3,L3)</f>
        <v/>
      </c>
      <c r="N3" s="9" t="n">
        <v>4</v>
      </c>
      <c r="O3" s="8">
        <f>I3*M3*(12/N3)</f>
        <v/>
      </c>
      <c r="P3" s="11" t="inlineStr">
        <is>
          <t>McKinsey (2023)</t>
        </is>
      </c>
    </row>
    <row r="4">
      <c r="A4" s="12" t="inlineStr">
        <is>
          <t>Predictive Churn Model</t>
        </is>
      </c>
      <c r="B4" s="13" t="inlineStr">
        <is>
          <t>Marketing</t>
        </is>
      </c>
      <c r="C4" s="14" t="n">
        <v>5</v>
      </c>
      <c r="D4" s="14" t="n">
        <v>4</v>
      </c>
      <c r="E4" s="14" t="n">
        <v>4</v>
      </c>
      <c r="F4" s="14" t="n">
        <v>4</v>
      </c>
      <c r="G4" s="14" t="n">
        <v>4</v>
      </c>
      <c r="H4" s="14" t="n">
        <v>3</v>
      </c>
      <c r="I4" s="15">
        <f>SUMPRODUCT(C4:H4,$C$2:$H$2)</f>
        <v/>
      </c>
      <c r="J4" s="16" t="inlineStr">
        <is>
          <t>Revenue</t>
        </is>
      </c>
      <c r="K4" s="17" t="n">
        <v>0.08</v>
      </c>
      <c r="L4" s="17" t="n">
        <v>0.15</v>
      </c>
      <c r="M4" s="17">
        <f>AVERAGE(K4,L4)</f>
        <v/>
      </c>
      <c r="N4" s="16" t="n">
        <v>4</v>
      </c>
      <c r="O4" s="15">
        <f>I4*M4*(12/N4)</f>
        <v/>
      </c>
      <c r="P4" s="18" t="inlineStr">
        <is>
          <t>BCG (2024)</t>
        </is>
      </c>
    </row>
    <row r="5">
      <c r="A5" s="5" t="inlineStr">
        <is>
          <t>Fraud Detection Engine</t>
        </is>
      </c>
      <c r="B5" s="6" t="inlineStr">
        <is>
          <t>Risk</t>
        </is>
      </c>
      <c r="C5" s="7" t="n">
        <v>4</v>
      </c>
      <c r="D5" s="7" t="n">
        <v>5</v>
      </c>
      <c r="E5" s="7" t="n">
        <v>4</v>
      </c>
      <c r="F5" s="7" t="n">
        <v>5</v>
      </c>
      <c r="G5" s="7" t="n">
        <v>3</v>
      </c>
      <c r="H5" s="7" t="n">
        <v>4</v>
      </c>
      <c r="I5" s="8">
        <f>SUMPRODUCT(C5:H5,$C$2:$H$2)</f>
        <v/>
      </c>
      <c r="J5" s="9" t="inlineStr">
        <is>
          <t>Cost</t>
        </is>
      </c>
      <c r="K5" s="10" t="n">
        <v>0.2</v>
      </c>
      <c r="L5" s="10" t="n">
        <v>0.3</v>
      </c>
      <c r="M5" s="10">
        <f>AVERAGE(K5,L5)</f>
        <v/>
      </c>
      <c r="N5" s="9" t="n">
        <v>9</v>
      </c>
      <c r="O5" s="8">
        <f>I5*M5*(12/N5)</f>
        <v/>
      </c>
      <c r="P5" s="11" t="inlineStr">
        <is>
          <t>McKinsey (2018)</t>
        </is>
      </c>
    </row>
    <row r="6">
      <c r="A6" s="12" t="inlineStr">
        <is>
          <t>Dynamic Pricing AI</t>
        </is>
      </c>
      <c r="B6" s="13" t="inlineStr">
        <is>
          <t>Revenue</t>
        </is>
      </c>
      <c r="C6" s="14" t="n">
        <v>5</v>
      </c>
      <c r="D6" s="14" t="n">
        <v>4</v>
      </c>
      <c r="E6" s="14" t="n">
        <v>3</v>
      </c>
      <c r="F6" s="14" t="n">
        <v>5</v>
      </c>
      <c r="G6" s="14" t="n">
        <v>3</v>
      </c>
      <c r="H6" s="14" t="n">
        <v>3</v>
      </c>
      <c r="I6" s="15">
        <f>SUMPRODUCT(C6:H6,$C$2:$H$2)</f>
        <v/>
      </c>
      <c r="J6" s="16" t="inlineStr">
        <is>
          <t>Revenue</t>
        </is>
      </c>
      <c r="K6" s="17" t="n">
        <v>0.05</v>
      </c>
      <c r="L6" s="17" t="n">
        <v>0.12</v>
      </c>
      <c r="M6" s="17">
        <f>AVERAGE(K6,L6)</f>
        <v/>
      </c>
      <c r="N6" s="16" t="n">
        <v>6</v>
      </c>
      <c r="O6" s="15">
        <f>I6*M6*(12/N6)</f>
        <v/>
      </c>
      <c r="P6" s="18" t="inlineStr">
        <is>
          <t>BCG (2024)</t>
        </is>
      </c>
    </row>
    <row r="7">
      <c r="A7" s="5" t="inlineStr">
        <is>
          <t>Supply Chain Optimizer</t>
        </is>
      </c>
      <c r="B7" s="6" t="inlineStr">
        <is>
          <t>Logistics</t>
        </is>
      </c>
      <c r="C7" s="7" t="n">
        <v>3</v>
      </c>
      <c r="D7" s="7" t="n">
        <v>3</v>
      </c>
      <c r="E7" s="7" t="n">
        <v>3</v>
      </c>
      <c r="F7" s="7" t="n">
        <v>5</v>
      </c>
      <c r="G7" s="7" t="n">
        <v>2</v>
      </c>
      <c r="H7" s="7" t="n">
        <v>4</v>
      </c>
      <c r="I7" s="8">
        <f>SUMPRODUCT(C7:H7,$C$2:$H$2)</f>
        <v/>
      </c>
      <c r="J7" s="9" t="inlineStr">
        <is>
          <t>Cost</t>
        </is>
      </c>
      <c r="K7" s="10" t="n">
        <v>0.1</v>
      </c>
      <c r="L7" s="10" t="n">
        <v>0.2</v>
      </c>
      <c r="M7" s="10">
        <f>AVERAGE(K7,L7)</f>
        <v/>
      </c>
      <c r="N7" s="9" t="n">
        <v>12</v>
      </c>
      <c r="O7" s="8">
        <f>I7*M7*(12/N7)</f>
        <v/>
      </c>
      <c r="P7" s="11" t="inlineStr">
        <is>
          <t>McKinsey (2018)</t>
        </is>
      </c>
    </row>
    <row r="8">
      <c r="A8" s="12" t="inlineStr">
        <is>
          <t>Document Intelligence</t>
        </is>
      </c>
      <c r="B8" s="13" t="inlineStr">
        <is>
          <t>Legal</t>
        </is>
      </c>
      <c r="C8" s="14" t="n">
        <v>4</v>
      </c>
      <c r="D8" s="14" t="n">
        <v>3</v>
      </c>
      <c r="E8" s="14" t="n">
        <v>4</v>
      </c>
      <c r="F8" s="14" t="n">
        <v>3</v>
      </c>
      <c r="G8" s="14" t="n">
        <v>5</v>
      </c>
      <c r="H8" s="14" t="n">
        <v>2</v>
      </c>
      <c r="I8" s="15">
        <f>SUMPRODUCT(C8:H8,$C$2:$H$2)</f>
        <v/>
      </c>
      <c r="J8" s="16" t="inlineStr">
        <is>
          <t>Cost</t>
        </is>
      </c>
      <c r="K8" s="17" t="n">
        <v>0.15</v>
      </c>
      <c r="L8" s="17" t="n">
        <v>0.25</v>
      </c>
      <c r="M8" s="17">
        <f>AVERAGE(K8,L8)</f>
        <v/>
      </c>
      <c r="N8" s="16" t="n">
        <v>3</v>
      </c>
      <c r="O8" s="15">
        <f>I8*M8*(12/N8)</f>
        <v/>
      </c>
      <c r="P8" s="18" t="inlineStr">
        <is>
          <t>Deloitte (2024)</t>
        </is>
      </c>
    </row>
    <row r="9">
      <c r="A9" s="5" t="inlineStr">
        <is>
          <t>Demand Forecasting</t>
        </is>
      </c>
      <c r="B9" s="6" t="inlineStr">
        <is>
          <t>Operations</t>
        </is>
      </c>
      <c r="C9" s="7" t="n">
        <v>4</v>
      </c>
      <c r="D9" s="7" t="n">
        <v>4</v>
      </c>
      <c r="E9" s="7" t="n">
        <v>4</v>
      </c>
      <c r="F9" s="7" t="n">
        <v>4</v>
      </c>
      <c r="G9" s="7" t="n">
        <v>3</v>
      </c>
      <c r="H9" s="7" t="n">
        <v>3</v>
      </c>
      <c r="I9" s="8">
        <f>SUMPRODUCT(C9:H9,$C$2:$H$2)</f>
        <v/>
      </c>
      <c r="J9" s="9" t="inlineStr">
        <is>
          <t>Revenue</t>
        </is>
      </c>
      <c r="K9" s="10" t="n">
        <v>0.06</v>
      </c>
      <c r="L9" s="10" t="n">
        <v>0.1</v>
      </c>
      <c r="M9" s="10">
        <f>AVERAGE(K9,L9)</f>
        <v/>
      </c>
      <c r="N9" s="9" t="n">
        <v>8</v>
      </c>
      <c r="O9" s="8">
        <f>I9*M9*(12/N9)</f>
        <v/>
      </c>
      <c r="P9" s="11" t="inlineStr">
        <is>
          <t>McKinsey (2023)</t>
        </is>
      </c>
    </row>
    <row r="10">
      <c r="A10" s="12" t="inlineStr">
        <is>
          <t>Employee Attrition Model</t>
        </is>
      </c>
      <c r="B10" s="13" t="inlineStr">
        <is>
          <t>HR</t>
        </is>
      </c>
      <c r="C10" s="14" t="n">
        <v>3</v>
      </c>
      <c r="D10" s="14" t="n">
        <v>3</v>
      </c>
      <c r="E10" s="14" t="n">
        <v>4</v>
      </c>
      <c r="F10" s="14" t="n">
        <v>3</v>
      </c>
      <c r="G10" s="14" t="n">
        <v>4</v>
      </c>
      <c r="H10" s="14" t="n">
        <v>2</v>
      </c>
      <c r="I10" s="15">
        <f>SUMPRODUCT(C10:H10,$C$2:$H$2)</f>
        <v/>
      </c>
      <c r="J10" s="16" t="inlineStr">
        <is>
          <t>Cost</t>
        </is>
      </c>
      <c r="K10" s="17" t="n">
        <v>0.05</v>
      </c>
      <c r="L10" s="17" t="n">
        <v>0.1</v>
      </c>
      <c r="M10" s="17">
        <f>AVERAGE(K10,L10)</f>
        <v/>
      </c>
      <c r="N10" s="16" t="n">
        <v>6</v>
      </c>
      <c r="O10" s="15">
        <f>I10*M10*(12/N10)</f>
        <v/>
      </c>
      <c r="P10" s="18" t="inlineStr">
        <is>
          <t>BCG (2024)</t>
        </is>
      </c>
    </row>
  </sheetData>
  <autoFilter ref="A2:P10"/>
  <conditionalFormatting sqref="J3:J10">
    <cfRule type="expression" priority="1" dxfId="0">
      <formula>J3="Revenue"</formula>
    </cfRule>
    <cfRule type="expression" priority="2" dxfId="1">
      <formula>J3="Cost"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4A7A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8" customWidth="1" min="5" max="5"/>
  </cols>
  <sheetData>
    <row r="1" ht="30" customHeight="1">
      <c r="A1" s="1" t="inlineStr">
        <is>
          <t>Function</t>
        </is>
      </c>
      <c r="B1" s="1" t="inlineStr">
        <is>
          <t># Use Cases</t>
        </is>
      </c>
      <c r="C1" s="1" t="inlineStr">
        <is>
          <t>Avg Score</t>
        </is>
      </c>
      <c r="D1" s="1" t="inlineStr">
        <is>
          <t>Avg Priority</t>
        </is>
      </c>
      <c r="E1" s="1" t="inlineStr">
        <is>
          <t>Classification</t>
        </is>
      </c>
    </row>
    <row r="2">
      <c r="A2" s="5" t="inlineStr">
        <is>
          <t>HR</t>
        </is>
      </c>
      <c r="B2" s="9">
        <f>COUNTIF('Scoring Matrix'!B$3:B$10,A2)</f>
        <v/>
      </c>
      <c r="C2" s="19">
        <f>AVERAGEIF('Scoring Matrix'!B$3:B$10,A2,'Scoring Matrix'!I$3:I$10)</f>
        <v/>
      </c>
      <c r="D2" s="19">
        <f>AVERAGEIF('Scoring Matrix'!B$3:B$10,A2,'Scoring Matrix'!O$3:O$10)</f>
        <v/>
      </c>
      <c r="E2" s="9" t="inlineStr"/>
    </row>
    <row r="3">
      <c r="A3" s="12" t="inlineStr">
        <is>
          <t>Legal</t>
        </is>
      </c>
      <c r="B3" s="16">
        <f>COUNTIF('Scoring Matrix'!B$3:B$10,A3)</f>
        <v/>
      </c>
      <c r="C3" s="20">
        <f>AVERAGEIF('Scoring Matrix'!B$3:B$10,A3,'Scoring Matrix'!I$3:I$10)</f>
        <v/>
      </c>
      <c r="D3" s="20">
        <f>AVERAGEIF('Scoring Matrix'!B$3:B$10,A3,'Scoring Matrix'!O$3:O$10)</f>
        <v/>
      </c>
      <c r="E3" s="16" t="inlineStr"/>
    </row>
    <row r="4">
      <c r="A4" s="5" t="inlineStr">
        <is>
          <t>Logistics</t>
        </is>
      </c>
      <c r="B4" s="9">
        <f>COUNTIF('Scoring Matrix'!B$3:B$10,A4)</f>
        <v/>
      </c>
      <c r="C4" s="19">
        <f>AVERAGEIF('Scoring Matrix'!B$3:B$10,A4,'Scoring Matrix'!I$3:I$10)</f>
        <v/>
      </c>
      <c r="D4" s="19">
        <f>AVERAGEIF('Scoring Matrix'!B$3:B$10,A4,'Scoring Matrix'!O$3:O$10)</f>
        <v/>
      </c>
      <c r="E4" s="9" t="inlineStr"/>
    </row>
    <row r="5">
      <c r="A5" s="12" t="inlineStr">
        <is>
          <t>Marketing</t>
        </is>
      </c>
      <c r="B5" s="16">
        <f>COUNTIF('Scoring Matrix'!B$3:B$10,A5)</f>
        <v/>
      </c>
      <c r="C5" s="20">
        <f>AVERAGEIF('Scoring Matrix'!B$3:B$10,A5,'Scoring Matrix'!I$3:I$10)</f>
        <v/>
      </c>
      <c r="D5" s="20">
        <f>AVERAGEIF('Scoring Matrix'!B$3:B$10,A5,'Scoring Matrix'!O$3:O$10)</f>
        <v/>
      </c>
      <c r="E5" s="16" t="inlineStr"/>
    </row>
    <row r="6">
      <c r="A6" s="5" t="inlineStr">
        <is>
          <t>Operations</t>
        </is>
      </c>
      <c r="B6" s="9">
        <f>COUNTIF('Scoring Matrix'!B$3:B$10,A6)</f>
        <v/>
      </c>
      <c r="C6" s="19">
        <f>AVERAGEIF('Scoring Matrix'!B$3:B$10,A6,'Scoring Matrix'!I$3:I$10)</f>
        <v/>
      </c>
      <c r="D6" s="19">
        <f>AVERAGEIF('Scoring Matrix'!B$3:B$10,A6,'Scoring Matrix'!O$3:O$10)</f>
        <v/>
      </c>
      <c r="E6" s="9" t="inlineStr"/>
    </row>
    <row r="7">
      <c r="A7" s="12" t="inlineStr">
        <is>
          <t>Revenue</t>
        </is>
      </c>
      <c r="B7" s="16">
        <f>COUNTIF('Scoring Matrix'!B$3:B$10,A7)</f>
        <v/>
      </c>
      <c r="C7" s="20">
        <f>AVERAGEIF('Scoring Matrix'!B$3:B$10,A7,'Scoring Matrix'!I$3:I$10)</f>
        <v/>
      </c>
      <c r="D7" s="20">
        <f>AVERAGEIF('Scoring Matrix'!B$3:B$10,A7,'Scoring Matrix'!O$3:O$10)</f>
        <v/>
      </c>
      <c r="E7" s="16" t="inlineStr"/>
    </row>
    <row r="8">
      <c r="A8" s="5" t="inlineStr">
        <is>
          <t>Risk</t>
        </is>
      </c>
      <c r="B8" s="9">
        <f>COUNTIF('Scoring Matrix'!B$3:B$10,A8)</f>
        <v/>
      </c>
      <c r="C8" s="19">
        <f>AVERAGEIF('Scoring Matrix'!B$3:B$10,A8,'Scoring Matrix'!I$3:I$10)</f>
        <v/>
      </c>
      <c r="D8" s="19">
        <f>AVERAGEIF('Scoring Matrix'!B$3:B$10,A8,'Scoring Matrix'!O$3:O$10)</f>
        <v/>
      </c>
      <c r="E8" s="9" t="inlineStr"/>
    </row>
  </sheetData>
  <conditionalFormatting sqref="C2:C8">
    <cfRule type="cellIs" priority="1" operator="greaterThan" dxfId="2">
      <formula>3.5</formula>
    </cfRule>
    <cfRule type="cellIs" priority="2" operator="lessThan" dxfId="3">
      <formula>2.5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2026-03-13T14:36:18Z</dcterms:created>
  <dcterms:modified xmlns:dcterms="http://purl.org/dc/terms/" xmlns:xsi="http://www.w3.org/2001/XMLSchema-instance" xsi:type="dcterms:W3CDTF">2026-03-13T14:36:18Z</dcterms:modified>
</cp:coreProperties>
</file>